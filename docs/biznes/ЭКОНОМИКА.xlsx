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Ввод" sheetId="2" state="visible" r:id="rId2"/>
    <sheet xmlns:r="http://schemas.openxmlformats.org/officeDocument/2006/relationships" name="Фикс" sheetId="3" state="visible" r:id="rId3"/>
    <sheet xmlns:r="http://schemas.openxmlformats.org/officeDocument/2006/relationships" name="Пакеты" sheetId="4" state="visible" r:id="rId4"/>
    <sheet xmlns:r="http://schemas.openxmlformats.org/officeDocument/2006/relationships" name="Промо" sheetId="5" state="visible" r:id="rId5"/>
    <sheet xmlns:r="http://schemas.openxmlformats.org/officeDocument/2006/relationships" name="Калькулятор" sheetId="6" state="visible" r:id="rId6"/>
    <sheet xmlns:r="http://schemas.openxmlformats.org/officeDocument/2006/relationships" name="Реклама" sheetId="7" state="visible" r:id="rId7"/>
    <sheet xmlns:r="http://schemas.openxmlformats.org/officeDocument/2006/relationships" name="Балансы" sheetId="8" state="visible" r:id="rId8"/>
    <sheet xmlns:r="http://schemas.openxmlformats.org/officeDocument/2006/relationships" name="Подписк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₽&quot;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1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4" fillId="2" borderId="0" pivotButton="0" quotePrefix="0" xfId="0"/>
    <xf numFmtId="164" fontId="4" fillId="2" borderId="0" pivotButton="0" quotePrefix="0" xfId="0"/>
    <xf numFmtId="165" fontId="4" fillId="2" borderId="0" pivotButton="0" quotePrefix="0" xfId="0"/>
    <xf numFmtId="3" fontId="4" fillId="2" borderId="0" pivotButton="0" quotePrefix="0" xfId="0"/>
    <xf numFmtId="164" fontId="5" fillId="0" borderId="0" pivotButton="0" quotePrefix="0" xfId="0"/>
    <xf numFmtId="165" fontId="5" fillId="0" borderId="0" pivotButton="0" quotePrefix="0" xfId="0"/>
    <xf numFmtId="0" fontId="5" fillId="0" borderId="0" pivotButton="0" quotePrefix="0" xfId="0"/>
    <xf numFmtId="0" fontId="4" fillId="2" borderId="0" pivotButton="0" quotePrefix="0" xfId="0"/>
    <xf numFmtId="3" fontId="5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СоздайСвоюПесню — экономика</t>
        </is>
      </c>
      <c r="B1" t="inlineStr"/>
    </row>
    <row r="2">
      <c r="A2" s="2" t="inlineStr"/>
      <c r="B2" t="inlineStr"/>
    </row>
    <row r="3">
      <c r="A3" s="2" t="inlineStr">
        <is>
          <t>Жёлтые ячейки</t>
        </is>
      </c>
      <c r="B3" t="inlineStr">
        <is>
          <t>Ваши цифры — меняйте сами</t>
        </is>
      </c>
    </row>
    <row r="4">
      <c r="A4" s="2" t="inlineStr">
        <is>
          <t>Синий текст</t>
        </is>
      </c>
      <c r="B4" t="inlineStr">
        <is>
          <t>Тоже ввод (оценки до уточнения)</t>
        </is>
      </c>
    </row>
    <row r="5">
      <c r="A5" s="2" t="inlineStr">
        <is>
          <t>Чёрные формулы</t>
        </is>
      </c>
      <c r="B5" t="inlineStr">
        <is>
          <t>Пересчитываются автоматически</t>
        </is>
      </c>
    </row>
    <row r="6">
      <c r="A6" s="2" t="inlineStr"/>
      <c r="B6" t="inlineStr"/>
    </row>
    <row r="7">
      <c r="A7" s="1" t="inlineStr">
        <is>
          <t>Листы:</t>
        </is>
      </c>
      <c r="B7" t="inlineStr"/>
    </row>
    <row r="8">
      <c r="A8" s="2" t="inlineStr">
        <is>
          <t>Ввод</t>
        </is>
      </c>
      <c r="B8" t="inlineStr">
        <is>
          <t>Главные допущения (курс, API, налоги)</t>
        </is>
      </c>
    </row>
    <row r="9">
      <c r="A9" s="2" t="inlineStr">
        <is>
          <t>Фикс</t>
        </is>
      </c>
      <c r="B9" t="inlineStr">
        <is>
          <t>Постоянные расходы ₽/мес</t>
        </is>
      </c>
    </row>
    <row r="10">
      <c r="A10" s="2" t="inlineStr">
        <is>
          <t>Пакеты</t>
        </is>
      </c>
      <c r="B10" t="inlineStr">
        <is>
          <t>Текущие тарифы и маржа</t>
        </is>
      </c>
    </row>
    <row r="11">
      <c r="A11" s="2" t="inlineStr">
        <is>
          <t>Промо</t>
        </is>
      </c>
      <c r="B11" t="inlineStr">
        <is>
          <t>Скидка % для беты — маржа после GP+НПД</t>
        </is>
      </c>
    </row>
    <row r="12">
      <c r="A12" s="2" t="inlineStr">
        <is>
          <t>Калькулятор</t>
        </is>
      </c>
      <c r="B12" t="inlineStr">
        <is>
          <t>Точка безубыточности</t>
        </is>
      </c>
    </row>
    <row r="13">
      <c r="A13" s="2" t="inlineStr">
        <is>
          <t>Реклама</t>
        </is>
      </c>
      <c r="B13" t="inlineStr">
        <is>
          <t>CAC / LTV / пробные</t>
        </is>
      </c>
    </row>
    <row r="14">
      <c r="A14" s="2" t="inlineStr">
        <is>
          <t>Балансы</t>
        </is>
      </c>
      <c r="B14" t="inlineStr">
        <is>
          <t>Журнал пополнений API</t>
        </is>
      </c>
    </row>
    <row r="15">
      <c r="A15" s="2" t="inlineStr">
        <is>
          <t>Подписка</t>
        </is>
      </c>
      <c r="B15" t="inlineStr">
        <is>
          <t>Черновик планов</t>
        </is>
      </c>
    </row>
    <row r="16">
      <c r="A16" s="2" t="inlineStr"/>
      <c r="B16" t="inlineStr"/>
    </row>
    <row r="17">
      <c r="A17" s="2" t="inlineStr">
        <is>
          <t>Текст для ассистента:</t>
        </is>
      </c>
      <c r="B17" t="inlineStr">
        <is>
          <t>docs/biznes/ЭКОНОМИКА.txt §11</t>
        </is>
      </c>
    </row>
    <row r="18">
      <c r="A18" s="2" t="inlineStr">
        <is>
          <t>Обновлено:</t>
        </is>
      </c>
      <c r="B18" t="inlineStr">
        <is>
          <t>15 июля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</cols>
  <sheetData>
    <row r="1">
      <c r="A1" s="3" t="inlineStr">
        <is>
          <t>Допущения (меняйте жёлтые/синие ячейки)</t>
        </is>
      </c>
    </row>
    <row r="3">
      <c r="A3" s="1" t="inlineStr">
        <is>
          <t>Параметр</t>
        </is>
      </c>
      <c r="B3" s="1" t="inlineStr">
        <is>
          <t>Значение</t>
        </is>
      </c>
      <c r="C3" s="1" t="inlineStr">
        <is>
          <t>Ключ</t>
        </is>
      </c>
    </row>
    <row r="4">
      <c r="A4" t="inlineStr">
        <is>
          <t>Курс USD → RUB (справочно)</t>
        </is>
      </c>
      <c r="B4" s="4" t="n">
        <v>95</v>
      </c>
      <c r="C4" t="inlineStr">
        <is>
          <t>usd_rub</t>
        </is>
      </c>
    </row>
    <row r="5">
      <c r="A5" t="inlineStr">
        <is>
          <t>Suno, ₽/нота (15 cr, 1000cr=500₽)</t>
        </is>
      </c>
      <c r="B5" s="5" t="n">
        <v>7.5</v>
      </c>
      <c r="C5" t="inlineStr">
        <is>
          <t>suno_rub</t>
        </is>
      </c>
    </row>
    <row r="6">
      <c r="A6" t="inlineStr">
        <is>
          <t>YandexGPT, ₽/нота</t>
        </is>
      </c>
      <c r="B6" s="5" t="n">
        <v>5</v>
      </c>
      <c r="C6" t="inlineStr">
        <is>
          <t>yandex_rub</t>
        </is>
      </c>
    </row>
    <row r="7">
      <c r="A7" t="inlineStr">
        <is>
          <t>S3, ₽/нота</t>
        </is>
      </c>
      <c r="B7" s="5" t="n">
        <v>0.5</v>
      </c>
      <c r="C7" t="inlineStr">
        <is>
          <t>s3_rub</t>
        </is>
      </c>
    </row>
    <row r="8">
      <c r="A8" t="inlineStr">
        <is>
          <t>Брак/retry, % к API</t>
        </is>
      </c>
      <c r="B8" s="6" t="n">
        <v>0.12</v>
      </c>
      <c r="C8" t="inlineStr">
        <is>
          <t>waste_pct</t>
        </is>
      </c>
    </row>
    <row r="9">
      <c r="A9" t="inlineStr">
        <is>
          <t>Эквайринг GetPlatinum, %</t>
        </is>
      </c>
      <c r="B9" s="6" t="n">
        <v>0.035</v>
      </c>
      <c r="C9" t="inlineStr">
        <is>
          <t>gp_pct</t>
        </is>
      </c>
    </row>
    <row r="10">
      <c r="A10" t="inlineStr">
        <is>
          <t>НПД, % с выручки</t>
        </is>
      </c>
      <c r="B10" s="6" t="n">
        <v>0.04</v>
      </c>
      <c r="C10" t="inlineStr">
        <is>
          <t>npd_pct</t>
        </is>
      </c>
    </row>
    <row r="11">
      <c r="A11" t="inlineStr">
        <is>
          <t>Платных нот в месяц (прогноз)</t>
        </is>
      </c>
      <c r="B11" s="7" t="n">
        <v>50</v>
      </c>
      <c r="C11" t="inlineStr">
        <is>
          <t>notes_month</t>
        </is>
      </c>
    </row>
    <row r="12">
      <c r="A12" t="inlineStr">
        <is>
          <t>Пробных генераций в месяц</t>
        </is>
      </c>
      <c r="B12" s="7" t="n">
        <v>100</v>
      </c>
      <c r="C12" t="inlineStr">
        <is>
          <t>trials_month</t>
        </is>
      </c>
    </row>
    <row r="13">
      <c r="A13" t="inlineStr">
        <is>
          <t>Себест. пробной, ₽</t>
        </is>
      </c>
      <c r="B13" s="5" t="n">
        <v>15</v>
      </c>
      <c r="C13" t="inlineStr">
        <is>
          <t>trial_cost</t>
        </is>
      </c>
    </row>
    <row r="15">
      <c r="A15" s="1" t="inlineStr">
        <is>
          <t>Переменная себест. 1 ноты, ₽</t>
        </is>
      </c>
      <c r="B15" s="8">
        <f>B5+B6+B7+(B5+B6+B7)*B9</f>
        <v/>
      </c>
    </row>
    <row r="16">
      <c r="A16" s="1" t="inlineStr">
        <is>
          <t>Итого фикс ₽/мес (с листа Фикс)</t>
        </is>
      </c>
      <c r="B16" s="8">
        <f>Фикс!B12</f>
        <v/>
      </c>
    </row>
    <row r="17">
      <c r="A17" t="inlineStr">
        <is>
          <t>Фикс на 1 ноту, ₽</t>
        </is>
      </c>
      <c r="B17" s="8">
        <f>IF(B11&gt;0,B16/B11,0)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4" customWidth="1" min="3" max="3"/>
  </cols>
  <sheetData>
    <row r="1">
      <c r="A1" s="3" t="inlineStr">
        <is>
          <t>Постоянные расходы, ₽/мес</t>
        </is>
      </c>
    </row>
    <row r="3">
      <c r="A3" s="1" t="inlineStr">
        <is>
          <t>Статья</t>
        </is>
      </c>
      <c r="B3" s="1" t="inlineStr">
        <is>
          <t>₽/мес</t>
        </is>
      </c>
      <c r="C3" s="1" t="inlineStr">
        <is>
          <t>Примечание</t>
        </is>
      </c>
    </row>
    <row r="4">
      <c r="A4" t="inlineStr">
        <is>
          <t>VPS (сейчас копейки / заложить рост)</t>
        </is>
      </c>
      <c r="B4" s="5" t="n">
        <v>1500</v>
      </c>
      <c r="C4" t="inlineStr">
        <is>
          <t>заполнить</t>
        </is>
      </c>
    </row>
    <row r="5">
      <c r="A5" t="inlineStr">
        <is>
          <t>Домен sozdaipesnu.ru (продление/12)</t>
        </is>
      </c>
      <c r="B5" s="5" t="n">
        <v>50</v>
      </c>
      <c r="C5" t="inlineStr">
        <is>
          <t>заполнить</t>
        </is>
      </c>
    </row>
    <row r="6">
      <c r="A6" t="inlineStr">
        <is>
          <t>Почта REG.RU Mail-1</t>
        </is>
      </c>
      <c r="B6" s="5" t="n">
        <v>200</v>
      </c>
      <c r="C6" t="inlineStr">
        <is>
          <t>заполнить</t>
        </is>
      </c>
    </row>
    <row r="7">
      <c r="A7" t="inlineStr">
        <is>
          <t>S3 REG.RU Object Storage</t>
        </is>
      </c>
      <c r="B7" s="5" t="n">
        <v>100</v>
      </c>
      <c r="C7" t="inlineStr">
        <is>
          <t>заполнить</t>
        </is>
      </c>
    </row>
    <row r="8">
      <c r="A8" t="inlineStr">
        <is>
          <t>Yandex Cloud (мин./факт)</t>
        </is>
      </c>
      <c r="B8" s="5" t="n">
        <v>200</v>
      </c>
      <c r="C8" t="inlineStr">
        <is>
          <t>заполнить</t>
        </is>
      </c>
    </row>
    <row r="9">
      <c r="A9" t="inlineStr">
        <is>
          <t>Прочее (мониторинг и т.п.)</t>
        </is>
      </c>
      <c r="B9" s="5" t="n">
        <v>100</v>
      </c>
      <c r="C9" t="inlineStr">
        <is>
          <t>заполнить</t>
        </is>
      </c>
    </row>
    <row r="11">
      <c r="A11" t="inlineStr">
        <is>
          <t>CAPEX разово (не в месяц)</t>
        </is>
      </c>
    </row>
    <row r="12">
      <c r="A12" s="1" t="inlineStr">
        <is>
          <t>ИТОГО фикс ₽/мес</t>
        </is>
      </c>
      <c r="B12" s="8">
        <f>SUM(B4:B9)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>
      <c r="A1" s="3" t="inlineStr">
        <is>
          <t>Пакеты нот (как на сайте v2.11.42)</t>
        </is>
      </c>
    </row>
    <row r="3">
      <c r="A3" s="1" t="inlineStr">
        <is>
          <t>ID</t>
        </is>
      </c>
      <c r="B3" s="1" t="inlineStr">
        <is>
          <t>Нот</t>
        </is>
      </c>
      <c r="C3" s="1" t="inlineStr">
        <is>
          <t>Цена ₽</t>
        </is>
      </c>
      <c r="D3" s="1" t="inlineStr">
        <is>
          <t>₽/нота</t>
        </is>
      </c>
      <c r="E3" s="1" t="inlineStr">
        <is>
          <t>Себест. ₽</t>
        </is>
      </c>
      <c r="F3" s="1" t="inlineStr">
        <is>
          <t>Маржа ₽</t>
        </is>
      </c>
      <c r="G3" s="1" t="inlineStr">
        <is>
          <t>Маржа %</t>
        </is>
      </c>
    </row>
    <row r="4">
      <c r="A4" t="inlineStr">
        <is>
          <t>notes_1</t>
        </is>
      </c>
      <c r="B4" t="n">
        <v>1</v>
      </c>
      <c r="C4" s="5" t="n">
        <v>149</v>
      </c>
      <c r="D4" s="8">
        <f>C4/B4</f>
        <v/>
      </c>
      <c r="E4" s="8">
        <f>B4*(Ввод!$B$15+Ввод!$B$17)+C4*(Ввод!$B$10+Ввод!$B$11)</f>
        <v/>
      </c>
      <c r="F4" s="8">
        <f>C4-E4</f>
        <v/>
      </c>
      <c r="G4" s="9">
        <f>IF(C4&gt;0,F4/C4,0)</f>
        <v/>
      </c>
    </row>
    <row r="5">
      <c r="A5" t="inlineStr">
        <is>
          <t>notes_3</t>
        </is>
      </c>
      <c r="B5" t="n">
        <v>3</v>
      </c>
      <c r="C5" s="5" t="n">
        <v>375</v>
      </c>
      <c r="D5" s="8">
        <f>C5/B5</f>
        <v/>
      </c>
      <c r="E5" s="8">
        <f>B5*(Ввод!$B$15+Ввод!$B$17)+C5*(Ввод!$B$10+Ввод!$B$11)</f>
        <v/>
      </c>
      <c r="F5" s="8">
        <f>C5-E5</f>
        <v/>
      </c>
      <c r="G5" s="9">
        <f>IF(C5&gt;0,F5/C5,0)</f>
        <v/>
      </c>
    </row>
    <row r="6">
      <c r="A6" t="inlineStr">
        <is>
          <t>notes_5</t>
        </is>
      </c>
      <c r="B6" t="n">
        <v>5</v>
      </c>
      <c r="C6" s="5" t="n">
        <v>599</v>
      </c>
      <c r="D6" s="8">
        <f>C6/B6</f>
        <v/>
      </c>
      <c r="E6" s="8">
        <f>B6*(Ввод!$B$15+Ввод!$B$17)+C6*(Ввод!$B$10+Ввод!$B$11)</f>
        <v/>
      </c>
      <c r="F6" s="8">
        <f>C6-E6</f>
        <v/>
      </c>
      <c r="G6" s="9">
        <f>IF(C6&gt;0,F6/C6,0)</f>
        <v/>
      </c>
    </row>
    <row r="7">
      <c r="A7" t="inlineStr">
        <is>
          <t>notes_10</t>
        </is>
      </c>
      <c r="B7" t="n">
        <v>10</v>
      </c>
      <c r="C7" s="5" t="n">
        <v>899</v>
      </c>
      <c r="D7" s="8">
        <f>C7/B7</f>
        <v/>
      </c>
      <c r="E7" s="8">
        <f>B7*(Ввод!$B$15+Ввод!$B$17)+C7*(Ввод!$B$10+Ввод!$B$11)</f>
        <v/>
      </c>
      <c r="F7" s="8">
        <f>C7-E7</f>
        <v/>
      </c>
      <c r="G7" s="9">
        <f>IF(C7&gt;0,F7/C7,0)</f>
        <v/>
      </c>
    </row>
    <row r="9">
      <c r="A9" t="inlineStr">
        <is>
          <t>Жёсткий пол ₽/нота (ориентир)</t>
        </is>
      </c>
      <c r="B9" s="5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6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A1" s="3" t="inlineStr">
        <is>
          <t>Промо для тестеров (GetPlatinum). Жёлтое — меняйте.</t>
        </is>
      </c>
    </row>
    <row r="3">
      <c r="A3" t="inlineStr">
        <is>
          <t>Скидка промокода, %</t>
        </is>
      </c>
      <c r="B3" s="6" t="n">
        <v>0.3</v>
      </c>
    </row>
    <row r="4">
      <c r="A4" t="inlineStr">
        <is>
          <t>Перем. себест. 1 ноты ₽ (из Ввод B15)</t>
        </is>
      </c>
      <c r="B4" s="8">
        <f>Ввод!B15</f>
        <v/>
      </c>
    </row>
    <row r="5">
      <c r="A5" t="inlineStr">
        <is>
          <t>GP % + НПД %</t>
        </is>
      </c>
      <c r="B5" s="9">
        <f>Ввод!B10+Ввод!B11</f>
        <v/>
      </c>
    </row>
    <row r="6">
      <c r="A6" t="inlineStr">
        <is>
          <t>Рабочий пол ₽/нота (запас)</t>
        </is>
      </c>
      <c r="B6" s="5" t="n">
        <v>99</v>
      </c>
    </row>
    <row r="8">
      <c r="A8" s="1" t="inlineStr">
        <is>
          <t>Пакет</t>
        </is>
      </c>
      <c r="B8" s="1" t="inlineStr">
        <is>
          <t>Нот</t>
        </is>
      </c>
      <c r="C8" s="1" t="inlineStr">
        <is>
          <t>Цена ₽</t>
        </is>
      </c>
      <c r="D8" s="1" t="inlineStr">
        <is>
          <t>После скидки ₽</t>
        </is>
      </c>
      <c r="E8" s="1" t="inlineStr">
        <is>
          <t>₽/нота</t>
        </is>
      </c>
      <c r="F8" s="1" t="inlineStr">
        <is>
          <t>Себест. нот ₽</t>
        </is>
      </c>
      <c r="G8" s="1" t="inlineStr">
        <is>
          <t>Маржа ₽</t>
        </is>
      </c>
      <c r="H8" s="1" t="inlineStr">
        <is>
          <t>₽/н ≥ пол?</t>
        </is>
      </c>
    </row>
    <row r="9">
      <c r="A9" t="inlineStr">
        <is>
          <t>notes_1</t>
        </is>
      </c>
      <c r="B9" t="n">
        <v>1</v>
      </c>
      <c r="C9" s="5" t="n">
        <v>149</v>
      </c>
      <c r="D9" s="8">
        <f>C9*(1-$B$3)</f>
        <v/>
      </c>
      <c r="E9" s="8">
        <f>D9/B9</f>
        <v/>
      </c>
      <c r="F9" s="8">
        <f>B9*$B$4+D9*$B$5</f>
        <v/>
      </c>
      <c r="G9" s="8">
        <f>D9-F9</f>
        <v/>
      </c>
      <c r="H9" s="10">
        <f>IF(E9&gt;=$B$6,"ДА","нет")</f>
        <v/>
      </c>
    </row>
    <row r="10">
      <c r="A10" t="inlineStr">
        <is>
          <t>notes_3</t>
        </is>
      </c>
      <c r="B10" t="n">
        <v>3</v>
      </c>
      <c r="C10" s="5" t="n">
        <v>375</v>
      </c>
      <c r="D10" s="8">
        <f>C10*(1-$B$3)</f>
        <v/>
      </c>
      <c r="E10" s="8">
        <f>D10/B10</f>
        <v/>
      </c>
      <c r="F10" s="8">
        <f>B10*$B$4+D10*$B$5</f>
        <v/>
      </c>
      <c r="G10" s="8">
        <f>D10-F10</f>
        <v/>
      </c>
      <c r="H10" s="10">
        <f>IF(E10&gt;=$B$6,"ДА","нет")</f>
        <v/>
      </c>
    </row>
    <row r="11">
      <c r="A11" t="inlineStr">
        <is>
          <t>notes_5</t>
        </is>
      </c>
      <c r="B11" t="n">
        <v>5</v>
      </c>
      <c r="C11" s="5" t="n">
        <v>599</v>
      </c>
      <c r="D11" s="8">
        <f>C11*(1-$B$3)</f>
        <v/>
      </c>
      <c r="E11" s="8">
        <f>D11/B11</f>
        <v/>
      </c>
      <c r="F11" s="8">
        <f>B11*$B$4+D11*$B$5</f>
        <v/>
      </c>
      <c r="G11" s="8">
        <f>D11-F11</f>
        <v/>
      </c>
      <c r="H11" s="10">
        <f>IF(E11&gt;=$B$6,"ДА","нет")</f>
        <v/>
      </c>
    </row>
    <row r="12">
      <c r="A12" t="inlineStr">
        <is>
          <t>notes_10</t>
        </is>
      </c>
      <c r="B12" t="n">
        <v>10</v>
      </c>
      <c r="C12" s="5" t="n">
        <v>899</v>
      </c>
      <c r="D12" s="8">
        <f>C12*(1-$B$3)</f>
        <v/>
      </c>
      <c r="E12" s="8">
        <f>D12/B12</f>
        <v/>
      </c>
      <c r="F12" s="8">
        <f>B12*$B$4+D12*$B$5</f>
        <v/>
      </c>
      <c r="G12" s="8">
        <f>D12-F12</f>
        <v/>
      </c>
      <c r="H12" s="10">
        <f>IF(E12&gt;=$B$6,"ДА","нет")</f>
        <v/>
      </c>
    </row>
    <row r="14">
      <c r="A14" s="1" t="inlineStr">
        <is>
          <t>Рекомендация (текст)</t>
        </is>
      </c>
    </row>
    <row r="15">
      <c r="A15" t="inlineStr">
        <is>
          <t>Бета: 30–40% комфортно. 50% ок при малом числе тестеров. &gt;60% на notes_10 — тонкая маржа. 100% только админка ±ноты (маркетинг).</t>
        </is>
      </c>
    </row>
    <row r="16">
      <c r="A16" t="inlineStr">
        <is>
          <t>См. docs/biznes/ЭКОНОМИКА.txt §11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3" t="inlineStr">
        <is>
          <t>Сводка месяца</t>
        </is>
      </c>
    </row>
    <row r="3">
      <c r="A3" s="1" t="inlineStr">
        <is>
          <t>Показатель</t>
        </is>
      </c>
      <c r="B3" s="1" t="inlineStr">
        <is>
          <t>Значение</t>
        </is>
      </c>
    </row>
    <row r="4">
      <c r="A4" t="inlineStr">
        <is>
          <t>Фикс ₽/мес</t>
        </is>
      </c>
      <c r="B4" s="10">
        <f>Фикс!B12</f>
        <v/>
      </c>
    </row>
    <row r="5">
      <c r="A5" t="inlineStr">
        <is>
          <t>Пробные × себест.</t>
        </is>
      </c>
      <c r="B5" s="10">
        <f>Ввод!B12*Ввод!B13</f>
        <v/>
      </c>
    </row>
    <row r="6">
      <c r="A6" t="inlineStr">
        <is>
          <t>Реклама ₽/мес</t>
        </is>
      </c>
      <c r="B6" s="11" t="n">
        <v>10000</v>
      </c>
    </row>
    <row r="7">
      <c r="A7" t="inlineStr">
        <is>
          <t>Итого затрат до маржи</t>
        </is>
      </c>
      <c r="B7" s="8">
        <f>B4+B5+B6</f>
        <v/>
      </c>
    </row>
    <row r="8">
      <c r="A8" t="inlineStr">
        <is>
          <t>Средняя цена ноты ₽</t>
        </is>
      </c>
      <c r="B8" s="5" t="n">
        <v>220</v>
      </c>
    </row>
    <row r="9">
      <c r="A9" t="inlineStr">
        <is>
          <t>Переменная + фикс/нота ₽</t>
        </is>
      </c>
      <c r="B9" s="8">
        <f>Ввод!B15+Ввод!B17</f>
        <v/>
      </c>
    </row>
    <row r="10">
      <c r="A10" t="inlineStr">
        <is>
          <t>Маржа на ноту ₽</t>
        </is>
      </c>
      <c r="B10" s="8">
        <f>B9*(1-Ввод!B10-Ввод!B11)-B10</f>
        <v/>
      </c>
    </row>
    <row r="11">
      <c r="A11" t="inlineStr">
        <is>
          <t>Нот для безубыточности</t>
        </is>
      </c>
      <c r="B11" s="12">
        <f>IF(B11&gt;0,B7/B11,0)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3" t="inlineStr">
        <is>
          <t>CAC / LTV</t>
        </is>
      </c>
    </row>
    <row r="3">
      <c r="A3" t="inlineStr">
        <is>
          <t>Рекламный бюджет ₽</t>
        </is>
      </c>
      <c r="B3" s="5" t="n">
        <v>10000</v>
      </c>
    </row>
    <row r="4">
      <c r="A4" t="inlineStr">
        <is>
          <t>Платящих клиентов</t>
        </is>
      </c>
      <c r="B4" s="11" t="n">
        <v>20</v>
      </c>
    </row>
    <row r="5">
      <c r="A5" t="inlineStr">
        <is>
          <t>CAC ₽</t>
        </is>
      </c>
      <c r="B5" s="8">
        <f>IF(B4&gt;0,B3/B4,0)</f>
        <v/>
      </c>
    </row>
    <row r="6">
      <c r="A6" t="inlineStr">
        <is>
          <t>Средний чек ₽</t>
        </is>
      </c>
      <c r="B6" s="5" t="n">
        <v>500</v>
      </c>
    </row>
    <row r="7">
      <c r="A7" t="inlineStr">
        <is>
          <t>Покупок на клиента</t>
        </is>
      </c>
      <c r="B7" s="11" t="n">
        <v>1.5</v>
      </c>
    </row>
    <row r="8">
      <c r="A8" t="inlineStr">
        <is>
          <t>LTV ₽</t>
        </is>
      </c>
      <c r="B8" s="8">
        <f>B6*B7</f>
        <v/>
      </c>
    </row>
    <row r="9">
      <c r="A9" t="inlineStr">
        <is>
          <t>LTV / CAC</t>
        </is>
      </c>
      <c r="B9" s="13">
        <f>IF(B5&gt;0,B8/B5,0)</f>
        <v/>
      </c>
    </row>
    <row r="10">
      <c r="A10" t="inlineStr">
        <is>
          <t>Ок? (LTV &gt; 3×CAC)</t>
        </is>
      </c>
      <c r="B10" s="10">
        <f>IF(B9&gt;=3,"ДА","НЕТ")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4" customWidth="1" min="5" max="5"/>
    <col width="24" customWidth="1" min="6" max="6"/>
  </cols>
  <sheetData>
    <row r="1">
      <c r="A1" s="3" t="inlineStr">
        <is>
          <t>Журнал пополнений и алерты</t>
        </is>
      </c>
    </row>
    <row r="3">
      <c r="A3" s="1" t="inlineStr">
        <is>
          <t>Дата</t>
        </is>
      </c>
      <c r="B3" s="1" t="inlineStr">
        <is>
          <t>Сервис</t>
        </is>
      </c>
      <c r="C3" s="1" t="inlineStr">
        <is>
          <t>Сумма</t>
        </is>
      </c>
      <c r="D3" s="1" t="inlineStr">
        <is>
          <t>Баланс после</t>
        </is>
      </c>
      <c r="E3" s="1" t="inlineStr">
        <is>
          <t>Алерт если</t>
        </is>
      </c>
      <c r="F3" s="1" t="inlineStr">
        <is>
          <t>Примечание</t>
        </is>
      </c>
    </row>
    <row r="4">
      <c r="A4" t="inlineStr"/>
      <c r="B4" t="inlineStr">
        <is>
          <t>sunoapi.org</t>
        </is>
      </c>
      <c r="C4" t="inlineStr"/>
      <c r="D4" t="inlineStr"/>
      <c r="E4" t="inlineStr">
        <is>
          <t>credits &lt; 100</t>
        </is>
      </c>
      <c r="F4" t="inlineStr"/>
    </row>
    <row r="5">
      <c r="A5" t="inlineStr"/>
      <c r="B5" t="inlineStr">
        <is>
          <t>ApiPass</t>
        </is>
      </c>
      <c r="C5" t="inlineStr"/>
      <c r="D5" t="inlineStr"/>
      <c r="E5" t="inlineStr">
        <is>
          <t>$ &lt; 5</t>
        </is>
      </c>
      <c r="F5" t="inlineStr"/>
    </row>
    <row r="6">
      <c r="A6" t="inlineStr"/>
      <c r="B6" t="inlineStr">
        <is>
          <t>Yandex Cloud</t>
        </is>
      </c>
      <c r="C6" t="inlineStr"/>
      <c r="D6" t="inlineStr"/>
      <c r="E6" t="inlineStr">
        <is>
          <t>₽ &lt; 100</t>
        </is>
      </c>
      <c r="F6" t="inlineStr"/>
    </row>
    <row r="7">
      <c r="A7" t="inlineStr"/>
      <c r="B7" t="inlineStr">
        <is>
          <t>REG.RU S3</t>
        </is>
      </c>
      <c r="C7" t="inlineStr"/>
      <c r="D7" t="inlineStr"/>
      <c r="E7" t="inlineStr">
        <is>
          <t>квота 80%</t>
        </is>
      </c>
      <c r="F7" t="inlineStr"/>
    </row>
    <row r="8">
      <c r="A8" t="inlineStr"/>
      <c r="C8" t="inlineStr"/>
      <c r="D8" t="inlineStr"/>
      <c r="F8" t="inlineStr"/>
    </row>
    <row r="9">
      <c r="A9" t="inlineStr"/>
      <c r="C9" t="inlineStr"/>
      <c r="D9" t="inlineStr"/>
      <c r="F9" t="inlineStr"/>
    </row>
    <row r="10">
      <c r="A10" t="inlineStr"/>
      <c r="C10" t="inlineStr"/>
      <c r="D10" t="inlineStr"/>
      <c r="F10" t="inlineStr"/>
    </row>
    <row r="11">
      <c r="A11" t="inlineStr"/>
      <c r="C11" t="inlineStr"/>
      <c r="D11" t="inlineStr"/>
      <c r="F11" t="inlineStr"/>
    </row>
    <row r="12">
      <c r="A12" t="inlineStr"/>
      <c r="C12" t="inlineStr"/>
      <c r="D12" t="inlineStr"/>
      <c r="F12" t="inlineStr"/>
    </row>
    <row r="13">
      <c r="A13" t="inlineStr"/>
      <c r="C13" t="inlineStr"/>
      <c r="D13" t="inlineStr"/>
      <c r="F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Черновик подписки</t>
        </is>
      </c>
    </row>
    <row r="3">
      <c r="A3" s="1" t="inlineStr">
        <is>
          <t>План</t>
        </is>
      </c>
      <c r="B3" s="1" t="inlineStr">
        <is>
          <t>Нот/мес</t>
        </is>
      </c>
      <c r="C3" s="1" t="inlineStr">
        <is>
          <t>Цена ₽</t>
        </is>
      </c>
      <c r="D3" s="1" t="inlineStr">
        <is>
          <t>₽/нота</t>
        </is>
      </c>
      <c r="E3" s="1" t="inlineStr">
        <is>
          <t>Сгорают?</t>
        </is>
      </c>
    </row>
    <row r="4">
      <c r="A4" t="inlineStr">
        <is>
          <t>Старт</t>
        </is>
      </c>
      <c r="B4" t="n">
        <v>5</v>
      </c>
      <c r="C4" s="5" t="n">
        <v>499</v>
      </c>
      <c r="D4" s="8">
        <f>C4/B4</f>
        <v/>
      </c>
      <c r="E4" t="inlineStr">
        <is>
          <t>да</t>
        </is>
      </c>
    </row>
    <row r="5">
      <c r="A5" t="inlineStr">
        <is>
          <t>Базовый</t>
        </is>
      </c>
      <c r="B5" t="n">
        <v>15</v>
      </c>
      <c r="C5" s="5" t="n">
        <v>1199</v>
      </c>
      <c r="D5" s="8">
        <f>C5/B5</f>
        <v/>
      </c>
      <c r="E5" t="inlineStr">
        <is>
          <t>да</t>
        </is>
      </c>
    </row>
    <row r="6">
      <c r="A6" t="inlineStr">
        <is>
          <t>Про</t>
        </is>
      </c>
      <c r="B6" t="n">
        <v>40</v>
      </c>
      <c r="C6" s="5" t="n">
        <v>2499</v>
      </c>
      <c r="D6" s="8">
        <f>C6/B6</f>
        <v/>
      </c>
      <c r="E6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2026-09-02T07:47:38Z</dcterms:created>
  <dcterms:modified xmlns:dcterms="http://purl.org/dc/terms/" xmlns:xsi="http://www.w3.org/2001/XMLSchema-instance" xsi:type="dcterms:W3CDTF">2026-09-02T07:47:38Z</dcterms:modified>
</cp:coreProperties>
</file>